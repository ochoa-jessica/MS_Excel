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y\Documents\Freelance Training\Maquarie Uni\MOOCS\Data Wrangling Specialisation\Course 2\Week 1\Workbooks\"/>
    </mc:Choice>
  </mc:AlternateContent>
  <xr:revisionPtr revIDLastSave="0" documentId="13_ncr:1_{4006659E-EC28-4530-95D0-AA2FFCA76259}" xr6:coauthVersionLast="45" xr6:coauthVersionMax="45" xr10:uidLastSave="{00000000-0000-0000-0000-000000000000}"/>
  <bookViews>
    <workbookView xWindow="-98" yWindow="-98" windowWidth="19396" windowHeight="1159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22" l="1"/>
  <c r="J7" i="22"/>
  <c r="J8" i="22"/>
  <c r="J9" i="22"/>
  <c r="J10" i="22"/>
  <c r="J11" i="22"/>
  <c r="J12" i="22"/>
  <c r="J5" i="22"/>
  <c r="P1" i="22"/>
  <c r="O1" i="22"/>
  <c r="N1" i="22"/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<sst xmlns="http://schemas.openxmlformats.org/spreadsheetml/2006/main" count="106" uniqueCount="74">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</sst>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19" formatCode="[Green]0.0%;[Red]\-0.0%;"/>
    <numFmt numFmtId="220" formatCode="[Red][&gt;0.01]\▲;[Color10][&lt;-0.01]\▼;[Black]General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1" fillId="33" borderId="0" xfId="0" applyFont="1" applyFill="1" applyBorder="1" applyAlignment="1">
      <alignment horizontal="center"/>
    </xf>
    <xf numFmtId="0" fontId="21" fillId="33" borderId="0" xfId="43" applyNumberFormat="1" applyFont="1" applyFill="1" applyBorder="1"/>
    <xf numFmtId="9" fontId="21" fillId="33" borderId="0" xfId="43" applyFont="1" applyFill="1" applyBorder="1" applyAlignment="1"/>
    <xf numFmtId="9" fontId="21" fillId="33" borderId="0" xfId="43" applyFont="1" applyFill="1" applyBorder="1"/>
    <xf numFmtId="0" fontId="22" fillId="33" borderId="0" xfId="0" applyFont="1" applyFill="1" applyBorder="1"/>
    <xf numFmtId="219" fontId="17" fillId="33" borderId="0" xfId="43" applyNumberFormat="1" applyFont="1" applyFill="1" applyBorder="1" applyAlignment="1">
      <alignment horizontal="center" vertical="center" wrapText="1"/>
    </xf>
    <xf numFmtId="220" fontId="13" fillId="33" borderId="0" xfId="43" applyNumberFormat="1" applyFon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483870</xdr:colOff>
      <xdr:row>26</xdr:row>
      <xdr:rowOff>171450</xdr:rowOff>
    </xdr:from>
    <xdr:to>
      <xdr:col>14</xdr:col>
      <xdr:colOff>52570</xdr:colOff>
      <xdr:row>28</xdr:row>
      <xdr:rowOff>150450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708AC497-5C92-41BA-A312-7F2C8A6B4717}"/>
            </a:ext>
          </a:extLst>
        </xdr:cNvPr>
        <xdr:cNvSpPr/>
      </xdr:nvSpPr>
      <xdr:spPr>
        <a:xfrm>
          <a:off x="9444990" y="5128260"/>
          <a:ext cx="107746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FB6A5B9-3E83-4675-BA1C-9244DB6AC662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4%</a:t>
          </a:fld>
          <a:endParaRPr lang="en-AU" sz="1100"/>
        </a:p>
      </xdr:txBody>
    </xdr:sp>
    <xdr:clientData/>
  </xdr:twoCellAnchor>
  <xdr:twoCellAnchor>
    <xdr:from>
      <xdr:col>14</xdr:col>
      <xdr:colOff>267970</xdr:colOff>
      <xdr:row>26</xdr:row>
      <xdr:rowOff>171450</xdr:rowOff>
    </xdr:from>
    <xdr:to>
      <xdr:col>15</xdr:col>
      <xdr:colOff>243070</xdr:colOff>
      <xdr:row>28</xdr:row>
      <xdr:rowOff>150450</xdr:rowOff>
    </xdr:to>
    <xdr:sp macro="" textlink="$O$1">
      <xdr:nvSpPr>
        <xdr:cNvPr id="12" name="Flowchart: Terminator 11">
          <a:extLst>
            <a:ext uri="{FF2B5EF4-FFF2-40B4-BE49-F238E27FC236}">
              <a16:creationId xmlns:a16="http://schemas.microsoft.com/office/drawing/2014/main" id="{A23D732B-150A-4EB8-AF8D-FA322133E656}"/>
            </a:ext>
          </a:extLst>
        </xdr:cNvPr>
        <xdr:cNvSpPr/>
      </xdr:nvSpPr>
      <xdr:spPr>
        <a:xfrm>
          <a:off x="10737850" y="5128260"/>
          <a:ext cx="107238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092D9B5-62EB-493A-A35D-55837C76EC96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59%</a:t>
          </a:fld>
          <a:endParaRPr lang="en-AU" sz="1100"/>
        </a:p>
      </xdr:txBody>
    </xdr:sp>
    <xdr:clientData/>
  </xdr:twoCellAnchor>
  <xdr:twoCellAnchor>
    <xdr:from>
      <xdr:col>15</xdr:col>
      <xdr:colOff>459740</xdr:colOff>
      <xdr:row>26</xdr:row>
      <xdr:rowOff>168910</xdr:rowOff>
    </xdr:from>
    <xdr:to>
      <xdr:col>16</xdr:col>
      <xdr:colOff>410710</xdr:colOff>
      <xdr:row>28</xdr:row>
      <xdr:rowOff>150450</xdr:rowOff>
    </xdr:to>
    <xdr:sp macro="" textlink="$P$1">
      <xdr:nvSpPr>
        <xdr:cNvPr id="13" name="Flowchart: Terminator 12">
          <a:extLst>
            <a:ext uri="{FF2B5EF4-FFF2-40B4-BE49-F238E27FC236}">
              <a16:creationId xmlns:a16="http://schemas.microsoft.com/office/drawing/2014/main" id="{B1F15889-15EE-4CCF-8759-1374FCF6D88B}"/>
            </a:ext>
          </a:extLst>
        </xdr:cNvPr>
        <xdr:cNvSpPr/>
      </xdr:nvSpPr>
      <xdr:spPr>
        <a:xfrm>
          <a:off x="12026900" y="5125720"/>
          <a:ext cx="1074920" cy="3625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B677DEE-362D-4429-9D72-36AB38390FE1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37%</a:t>
          </a:fld>
          <a:endParaRPr lang="en-AU" sz="1100"/>
        </a:p>
      </xdr:txBody>
    </xdr:sp>
    <xdr:clientData/>
  </xdr:twoCellAnchor>
  <xdr:twoCellAnchor editAs="oneCell">
    <xdr:from>
      <xdr:col>16</xdr:col>
      <xdr:colOff>111760</xdr:colOff>
      <xdr:row>25</xdr:row>
      <xdr:rowOff>173990</xdr:rowOff>
    </xdr:from>
    <xdr:to>
      <xdr:col>16</xdr:col>
      <xdr:colOff>543760</xdr:colOff>
      <xdr:row>28</xdr:row>
      <xdr:rowOff>53143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064DBA-0F35-4E1C-95D7-4C73AE87B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2870" y="4947920"/>
          <a:ext cx="434540" cy="437080"/>
        </a:xfrm>
        <a:prstGeom prst="rect">
          <a:avLst/>
        </a:prstGeom>
      </xdr:spPr>
    </xdr:pic>
    <xdr:clientData/>
  </xdr:twoCellAnchor>
  <xdr:twoCellAnchor editAs="oneCell">
    <xdr:from>
      <xdr:col>13</xdr:col>
      <xdr:colOff>515761</xdr:colOff>
      <xdr:row>25</xdr:row>
      <xdr:rowOff>173990</xdr:rowOff>
    </xdr:from>
    <xdr:to>
      <xdr:col>14</xdr:col>
      <xdr:colOff>204423</xdr:colOff>
      <xdr:row>28</xdr:row>
      <xdr:rowOff>54413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19B4976-BBA5-4920-AF23-BCFA55E5E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1261" y="4947920"/>
          <a:ext cx="433199" cy="43835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1040411</xdr:colOff>
      <xdr:row>25</xdr:row>
      <xdr:rowOff>173990</xdr:rowOff>
    </xdr:from>
    <xdr:to>
      <xdr:col>15</xdr:col>
      <xdr:colOff>361655</xdr:colOff>
      <xdr:row>28</xdr:row>
      <xdr:rowOff>53143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00B1F4-3652-4546-A407-93D78151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0291" y="4947920"/>
          <a:ext cx="430589" cy="437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4" sqref="B4"/>
    </sheetView>
  </sheetViews>
  <sheetFormatPr defaultColWidth="9.06640625" defaultRowHeight="14.75" customHeight="1" x14ac:dyDescent="0.45"/>
  <cols>
    <col min="1" max="1" width="1.19921875" style="6" customWidth="1"/>
    <col min="2" max="2" width="14.06640625" style="76" customWidth="1"/>
    <col min="3" max="9" width="13.06640625" style="2" customWidth="1"/>
    <col min="10" max="10" width="5.265625" style="4" customWidth="1"/>
    <col min="11" max="11" width="12.265625" style="2" customWidth="1"/>
    <col min="12" max="12" width="3.796875" style="1" customWidth="1"/>
    <col min="13" max="13" width="10.796875" style="1" customWidth="1"/>
    <col min="14" max="14" width="10.73046875" style="1" customWidth="1"/>
    <col min="15" max="16" width="15.8632812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6640625" style="1"/>
  </cols>
  <sheetData>
    <row r="1" spans="1:21" s="8" customFormat="1" ht="28.05" customHeight="1" x14ac:dyDescent="0.7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2</v>
      </c>
      <c r="L1" s="6"/>
      <c r="M1" s="84"/>
      <c r="N1" s="85">
        <f>VLOOKUP(K1,B29:E36,2,0)</f>
        <v>0.04</v>
      </c>
      <c r="O1" s="86">
        <f>VLOOKUP(K1,B29:E36,3,0)</f>
        <v>0.59</v>
      </c>
      <c r="P1" s="86">
        <f>VLOOKUP(K1,B29:E36,4,0)</f>
        <v>0.37</v>
      </c>
      <c r="T1" s="9"/>
      <c r="U1" s="9"/>
    </row>
    <row r="2" spans="1:21" ht="14.75" customHeight="1" x14ac:dyDescent="0.45">
      <c r="I2" s="87"/>
      <c r="M2" s="2"/>
      <c r="O2" s="2"/>
    </row>
    <row r="3" spans="1:21" ht="14.75" customHeight="1" x14ac:dyDescent="0.45">
      <c r="B3" s="80" t="s">
        <v>8</v>
      </c>
      <c r="I3" s="87"/>
      <c r="M3" s="2"/>
      <c r="N3" s="2"/>
      <c r="O3" s="2"/>
      <c r="T3" s="11" t="s">
        <v>17</v>
      </c>
      <c r="U3" s="12" t="s">
        <v>45</v>
      </c>
    </row>
    <row r="4" spans="1:21" ht="14.75" customHeight="1" x14ac:dyDescent="0.4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4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89">
        <f>I5</f>
        <v>1.0743048481739459E-2</v>
      </c>
      <c r="T5" s="16" t="s">
        <v>19</v>
      </c>
      <c r="U5" s="17" t="s">
        <v>47</v>
      </c>
    </row>
    <row r="6" spans="1:21" ht="14.75" customHeight="1" x14ac:dyDescent="0.4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89">
        <f t="shared" ref="J6:J12" si="1">I6</f>
        <v>-7.8537336340878117E-4</v>
      </c>
      <c r="T6" s="18" t="s">
        <v>20</v>
      </c>
      <c r="U6" s="19" t="s">
        <v>48</v>
      </c>
    </row>
    <row r="7" spans="1:21" ht="14.75" customHeight="1" x14ac:dyDescent="0.4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89">
        <f t="shared" si="1"/>
        <v>-5.5327675408438859E-2</v>
      </c>
      <c r="T7" s="20" t="s">
        <v>21</v>
      </c>
      <c r="U7" s="21" t="s">
        <v>49</v>
      </c>
    </row>
    <row r="8" spans="1:21" ht="14.75" customHeight="1" x14ac:dyDescent="0.4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89">
        <f t="shared" si="1"/>
        <v>-2.6113250720505299E-3</v>
      </c>
      <c r="T8" s="22" t="s">
        <v>22</v>
      </c>
      <c r="U8" s="23" t="s">
        <v>50</v>
      </c>
    </row>
    <row r="9" spans="1:21" ht="14.75" customHeight="1" x14ac:dyDescent="0.4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89">
        <f t="shared" si="1"/>
        <v>1.6461760604046694E-2</v>
      </c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4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89">
        <f t="shared" si="1"/>
        <v>6.7924635952900658E-3</v>
      </c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4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89">
        <f t="shared" si="1"/>
        <v>-7.5108984348842833E-3</v>
      </c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4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89">
        <f t="shared" si="1"/>
        <v>-3.244762558946801E-2</v>
      </c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45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4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4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4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45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88">
        <f t="shared" ref="I17:I24" si="2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45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88">
        <f t="shared" si="2"/>
        <v>0</v>
      </c>
      <c r="J18" s="3">
        <f t="shared" ref="J18:J24" si="3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45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88">
        <f t="shared" si="2"/>
        <v>2.2565182563572872E-2</v>
      </c>
      <c r="J19" s="3">
        <f t="shared" si="3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45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88">
        <f t="shared" si="2"/>
        <v>-2.1031262440773801E-3</v>
      </c>
      <c r="J20" s="3">
        <f t="shared" si="3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45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88">
        <f t="shared" si="2"/>
        <v>3.7340939014227637E-3</v>
      </c>
      <c r="J21" s="3">
        <f t="shared" si="3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45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88">
        <f t="shared" si="2"/>
        <v>2.8540951399434356E-2</v>
      </c>
      <c r="J22" s="3">
        <f t="shared" si="3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45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88">
        <f t="shared" si="2"/>
        <v>2.1857766983182536E-2</v>
      </c>
      <c r="J23" s="3">
        <f t="shared" si="3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45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88">
        <f t="shared" si="2"/>
        <v>4.9979164495061346E-2</v>
      </c>
      <c r="J24" s="3">
        <f t="shared" si="3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4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4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45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4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45">
      <c r="B29" s="77" t="s">
        <v>1</v>
      </c>
      <c r="C29" s="65">
        <v>0.04</v>
      </c>
      <c r="D29" s="65">
        <v>0.49</v>
      </c>
      <c r="E29" s="65">
        <f t="shared" ref="E29:E36" si="4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45">
      <c r="B30" s="77" t="s">
        <v>2</v>
      </c>
      <c r="C30" s="65">
        <v>0.04</v>
      </c>
      <c r="D30" s="65">
        <v>0.59</v>
      </c>
      <c r="E30" s="65">
        <f t="shared" si="4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45">
      <c r="B31" s="77" t="s">
        <v>3</v>
      </c>
      <c r="C31" s="65">
        <v>0.04</v>
      </c>
      <c r="D31" s="65">
        <v>0.11</v>
      </c>
      <c r="E31" s="65">
        <f t="shared" si="4"/>
        <v>0.85</v>
      </c>
      <c r="F31" s="62"/>
      <c r="G31" s="62"/>
      <c r="H31" s="62"/>
      <c r="I31" s="62"/>
      <c r="J31" s="74"/>
      <c r="K31" s="62"/>
    </row>
    <row r="32" spans="1:21" ht="14.75" customHeight="1" x14ac:dyDescent="0.45">
      <c r="B32" s="77" t="s">
        <v>10</v>
      </c>
      <c r="C32" s="65">
        <v>0.03</v>
      </c>
      <c r="D32" s="65">
        <v>0.44</v>
      </c>
      <c r="E32" s="65">
        <f t="shared" si="4"/>
        <v>0.53</v>
      </c>
      <c r="F32" s="62"/>
      <c r="G32" s="62"/>
      <c r="H32" s="62"/>
      <c r="I32" s="62"/>
      <c r="J32" s="74"/>
      <c r="K32" s="62"/>
    </row>
    <row r="33" spans="2:11" ht="14.75" customHeight="1" x14ac:dyDescent="0.45">
      <c r="B33" s="77" t="s">
        <v>4</v>
      </c>
      <c r="C33" s="65">
        <v>0.04</v>
      </c>
      <c r="D33" s="65">
        <v>0.78</v>
      </c>
      <c r="E33" s="65">
        <f t="shared" si="4"/>
        <v>0.17999999999999994</v>
      </c>
      <c r="F33" s="62"/>
      <c r="G33" s="62"/>
      <c r="H33" s="62"/>
      <c r="I33" s="62"/>
      <c r="K33" s="62"/>
    </row>
    <row r="34" spans="2:11" ht="14.75" customHeight="1" x14ac:dyDescent="0.45">
      <c r="B34" s="77" t="s">
        <v>11</v>
      </c>
      <c r="C34" s="65">
        <v>0.04</v>
      </c>
      <c r="D34" s="65">
        <v>0.49</v>
      </c>
      <c r="E34" s="65">
        <f t="shared" si="4"/>
        <v>0.47</v>
      </c>
    </row>
    <row r="35" spans="2:11" ht="14.75" customHeight="1" x14ac:dyDescent="0.45">
      <c r="B35" s="77" t="s">
        <v>12</v>
      </c>
      <c r="C35" s="65">
        <v>0.04</v>
      </c>
      <c r="D35" s="65">
        <v>0.68</v>
      </c>
      <c r="E35" s="65">
        <f t="shared" si="4"/>
        <v>0.27999999999999992</v>
      </c>
    </row>
    <row r="36" spans="2:11" ht="14.75" customHeight="1" x14ac:dyDescent="0.45">
      <c r="B36" s="77" t="s">
        <v>5</v>
      </c>
      <c r="C36" s="65">
        <v>0.04</v>
      </c>
      <c r="D36" s="65">
        <v>0.53</v>
      </c>
      <c r="E36" s="65">
        <f t="shared" si="4"/>
        <v>0.42999999999999994</v>
      </c>
    </row>
    <row r="37" spans="2:11" ht="14.75" customHeight="1" x14ac:dyDescent="0.45">
      <c r="C37" s="70"/>
      <c r="D37" s="70"/>
      <c r="E37" s="70"/>
    </row>
    <row r="38" spans="2:11" ht="14.75" customHeight="1" x14ac:dyDescent="0.45">
      <c r="C38" s="70"/>
      <c r="D38" s="70"/>
      <c r="E38" s="70"/>
    </row>
    <row r="39" spans="2:11" ht="14.75" customHeight="1" x14ac:dyDescent="0.45">
      <c r="B39" s="78"/>
    </row>
    <row r="42" spans="2:11" ht="14.75" customHeight="1" x14ac:dyDescent="0.45">
      <c r="B42" s="78"/>
      <c r="J42" s="13"/>
    </row>
    <row r="43" spans="2:11" ht="14.75" customHeight="1" x14ac:dyDescent="0.45">
      <c r="B43" s="78"/>
      <c r="F43" s="13"/>
      <c r="G43" s="13"/>
      <c r="H43" s="13"/>
      <c r="I43" s="13"/>
      <c r="K43" s="13"/>
    </row>
    <row r="44" spans="2:11" ht="14.75" customHeight="1" x14ac:dyDescent="0.45">
      <c r="B44" s="78"/>
    </row>
    <row r="45" spans="2:11" ht="14.75" customHeight="1" x14ac:dyDescent="0.45">
      <c r="B45" s="78"/>
    </row>
    <row r="46" spans="2:11" ht="14.75" customHeight="1" x14ac:dyDescent="0.45">
      <c r="B46" s="78"/>
    </row>
    <row r="47" spans="2:11" ht="14.75" customHeight="1" x14ac:dyDescent="0.45">
      <c r="B47" s="78"/>
    </row>
    <row r="49" spans="2:5" ht="14.75" customHeight="1" x14ac:dyDescent="0.45">
      <c r="B49" s="78"/>
    </row>
    <row r="50" spans="2:5" ht="14.75" customHeight="1" x14ac:dyDescent="0.45">
      <c r="B50" s="78"/>
    </row>
    <row r="51" spans="2:5" ht="14.75" customHeight="1" x14ac:dyDescent="0.45">
      <c r="B51" s="78"/>
    </row>
    <row r="52" spans="2:5" ht="14.75" customHeight="1" x14ac:dyDescent="0.45">
      <c r="C52" s="70"/>
      <c r="D52" s="70"/>
      <c r="E52" s="70"/>
    </row>
    <row r="63" spans="2:5" ht="14.75" customHeight="1" x14ac:dyDescent="0.45">
      <c r="B63" s="79" t="s">
        <v>6</v>
      </c>
    </row>
  </sheetData>
  <phoneticPr fontId="23" type="noConversion"/>
  <conditionalFormatting sqref="E29:E3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0" operator="lessThan">
      <formula>0.48</formula>
    </cfRule>
  </conditionalFormatting>
  <conditionalFormatting sqref="O11">
    <cfRule type="expression" dxfId="9" priority="9">
      <formula>O10=$K$1</formula>
    </cfRule>
  </conditionalFormatting>
  <conditionalFormatting sqref="P11">
    <cfRule type="expression" dxfId="8" priority="8">
      <formula>P10=$K$1</formula>
    </cfRule>
  </conditionalFormatting>
  <conditionalFormatting sqref="N14:N15">
    <cfRule type="expression" dxfId="7" priority="7">
      <formula>N13=$K$1</formula>
    </cfRule>
  </conditionalFormatting>
  <conditionalFormatting sqref="O16:O17">
    <cfRule type="expression" dxfId="6" priority="6">
      <formula>O15=$K$1</formula>
    </cfRule>
  </conditionalFormatting>
  <conditionalFormatting sqref="P18">
    <cfRule type="expression" dxfId="5" priority="5">
      <formula>P17=$K$1</formula>
    </cfRule>
  </conditionalFormatting>
  <conditionalFormatting sqref="Q20:Q21">
    <cfRule type="expression" dxfId="4" priority="4">
      <formula>Q19=$K$1</formula>
    </cfRule>
  </conditionalFormatting>
  <conditionalFormatting sqref="P22">
    <cfRule type="expression" dxfId="3" priority="3">
      <formula>P21=$K$1</formula>
    </cfRule>
  </conditionalFormatting>
  <conditionalFormatting sqref="P25:P26">
    <cfRule type="expression" dxfId="2" priority="2">
      <formula>P24=$K$1</formula>
    </cfRule>
  </conditionalFormatting>
  <conditionalFormatting sqref="B5:I12">
    <cfRule type="expression" dxfId="1" priority="16">
      <formula>$B5=$K$1</formula>
    </cfRule>
  </conditionalFormatting>
  <conditionalFormatting sqref="C5:H12">
    <cfRule type="top10" dxfId="0" priority="11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2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  <x14:sparklineGroup type="column" displayEmptyCellsAs="gap" high="1" xr2:uid="{1818FB75-F67B-45A6-820A-A03647A4D9AF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C00000"/>
          <x14:colorLow theme="5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displayEmptyCellsAs="gap" high="1" xr2:uid="{1160EAB6-2037-4F99-B546-02361F8ECEEA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FFFF00"/>
          <x14:colorLow rgb="FFFF0000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Nicole Bull</cp:lastModifiedBy>
  <dcterms:created xsi:type="dcterms:W3CDTF">2020-03-03T02:51:49Z</dcterms:created>
  <dcterms:modified xsi:type="dcterms:W3CDTF">2020-06-23T07:27:11Z</dcterms:modified>
</cp:coreProperties>
</file>